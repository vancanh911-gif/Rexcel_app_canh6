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lumin\8.python\Rexcel_clone5\Rexcel_app_canh6\"/>
    </mc:Choice>
  </mc:AlternateContent>
  <xr:revisionPtr revIDLastSave="0" documentId="13_ncr:1_{8C63595F-313B-4283-A272-4967DC0F5F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2" sheetId="2" r:id="rId1"/>
  </sheets>
  <definedNames>
    <definedName name="_xlnm.Print_Area" localSheetId="0">'Table 2'!$A$1:$E$22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" i="2"/>
</calcChain>
</file>

<file path=xl/sharedStrings.xml><?xml version="1.0" encoding="utf-8"?>
<sst xmlns="http://schemas.openxmlformats.org/spreadsheetml/2006/main" count="26" uniqueCount="25">
  <si>
    <r>
      <rPr>
        <b/>
        <sz val="12"/>
        <rFont val="Times New Roman"/>
        <family val="1"/>
      </rPr>
      <t>STT</t>
    </r>
  </si>
  <si>
    <r>
      <rPr>
        <b/>
        <sz val="12"/>
        <rFont val="Times New Roman"/>
        <family val="1"/>
      </rPr>
      <t>Nội dung công việc</t>
    </r>
  </si>
  <si>
    <r>
      <rPr>
        <b/>
        <sz val="12"/>
        <rFont val="Times New Roman"/>
        <family val="1"/>
      </rPr>
      <t>Giá trị theo KH năm 2025 Tập đoàn duyệt (Tr.đ)</t>
    </r>
  </si>
  <si>
    <r>
      <rPr>
        <b/>
        <sz val="12"/>
        <rFont val="Times New Roman"/>
        <family val="1"/>
      </rPr>
      <t>Giá trị dự toán theo phương án/kế hoạch (Tr.đ)</t>
    </r>
  </si>
  <si>
    <r>
      <rPr>
        <sz val="12"/>
        <rFont val="Times New Roman"/>
        <family val="1"/>
      </rPr>
      <t xml:space="preserve">Thăm dò khai thác, phục vụ khai
</t>
    </r>
    <r>
      <rPr>
        <sz val="12"/>
        <rFont val="Times New Roman"/>
        <family val="1"/>
      </rPr>
      <t>thác mỏ bauxit Nhân Cơ, tỉnh Đắk Nông</t>
    </r>
  </si>
  <si>
    <r>
      <rPr>
        <sz val="12"/>
        <rFont val="Times New Roman"/>
        <family val="1"/>
      </rPr>
      <t>Rà phá bom mìn</t>
    </r>
  </si>
  <si>
    <r>
      <rPr>
        <sz val="12"/>
        <rFont val="Times New Roman"/>
        <family val="1"/>
      </rPr>
      <t>Chi phí đo đạc cắm mốc ranh giới giải phóng mặt bằng</t>
    </r>
  </si>
  <si>
    <r>
      <rPr>
        <sz val="12"/>
        <rFont val="Times New Roman"/>
        <family val="1"/>
      </rPr>
      <t>Phát dọn mặt bằng chuẩn bị khai thác</t>
    </r>
  </si>
  <si>
    <r>
      <rPr>
        <sz val="12"/>
        <rFont val="Times New Roman"/>
        <family val="1"/>
      </rPr>
      <t xml:space="preserve">Thuê thiết bị chuyên dụng phục vụ khai thác quặng (phục vụ phần tự
</t>
    </r>
    <r>
      <rPr>
        <sz val="12"/>
        <rFont val="Times New Roman"/>
        <family val="1"/>
      </rPr>
      <t>thực hiện)</t>
    </r>
  </si>
  <si>
    <r>
      <rPr>
        <sz val="12"/>
        <rFont val="Times New Roman"/>
        <family val="1"/>
      </rPr>
      <t xml:space="preserve">Sửa chữa, hoàn trả các tuyến đường dân sinh trong khai trường khai
</t>
    </r>
    <r>
      <rPr>
        <sz val="12"/>
        <rFont val="Times New Roman"/>
        <family val="1"/>
      </rPr>
      <t>thác mỏ</t>
    </r>
  </si>
  <si>
    <r>
      <rPr>
        <sz val="12"/>
        <rFont val="Times New Roman"/>
        <family val="1"/>
      </rPr>
      <t xml:space="preserve">Tháo dỡ, di dời đường dây hạ thế
</t>
    </r>
    <r>
      <rPr>
        <sz val="12"/>
        <rFont val="Times New Roman"/>
        <family val="1"/>
      </rPr>
      <t>(khai trường năm 9-10)</t>
    </r>
  </si>
  <si>
    <r>
      <rPr>
        <sz val="12"/>
        <rFont val="Times New Roman"/>
        <family val="1"/>
      </rPr>
      <t>Sửa chữa Trao đổi nhiệt trung gian khu vực A13.1 (05 thiết bị)</t>
    </r>
  </si>
  <si>
    <r>
      <rPr>
        <sz val="12"/>
        <rFont val="Times New Roman"/>
        <family val="1"/>
      </rPr>
      <t>Sửa chữa các bộ trao đổi nhiệt dạng tấm khu vực A12</t>
    </r>
  </si>
  <si>
    <r>
      <rPr>
        <sz val="12"/>
        <rFont val="Times New Roman"/>
        <family val="1"/>
      </rPr>
      <t>Sửa chữa Hệ thống làm mềm nước khu vực D05</t>
    </r>
  </si>
  <si>
    <r>
      <rPr>
        <sz val="12"/>
        <rFont val="Times New Roman"/>
        <family val="1"/>
      </rPr>
      <t>Sửa chữa thiết bị lọc sợi D05, D07 (03 thiết bị)</t>
    </r>
  </si>
  <si>
    <r>
      <rPr>
        <sz val="12"/>
        <rFont val="Times New Roman"/>
        <family val="1"/>
      </rPr>
      <t>Sửa chữa thiết bị lọc sợi D06</t>
    </r>
  </si>
  <si>
    <r>
      <rPr>
        <sz val="12"/>
        <rFont val="Times New Roman"/>
        <family val="1"/>
      </rPr>
      <t>Sửa chữa thiết bị lọc sợi D09</t>
    </r>
  </si>
  <si>
    <r>
      <rPr>
        <sz val="12"/>
        <rFont val="Times New Roman"/>
        <family val="1"/>
      </rPr>
      <t xml:space="preserve">Sửa chữa thiết bị lọc sợi B12 (04
</t>
    </r>
    <r>
      <rPr>
        <sz val="12"/>
        <rFont val="Times New Roman"/>
        <family val="1"/>
      </rPr>
      <t>thiết bị)</t>
    </r>
  </si>
  <si>
    <r>
      <rPr>
        <sz val="12"/>
        <rFont val="Times New Roman"/>
        <family val="1"/>
      </rPr>
      <t>Sửa chữa thiết bị lọc sợi D08 (01 thiết bị)</t>
    </r>
  </si>
  <si>
    <r>
      <rPr>
        <sz val="12"/>
        <rFont val="Times New Roman"/>
        <family val="1"/>
      </rPr>
      <t>Sửa chữa, thay thế tấm lót, ống lót Cyclone phân cấp khu vực A04</t>
    </r>
  </si>
  <si>
    <r>
      <rPr>
        <sz val="12"/>
        <rFont val="Times New Roman"/>
        <family val="1"/>
      </rPr>
      <t xml:space="preserve">Sửa chữa Tấm thu nước, Tấm chia
</t>
    </r>
    <r>
      <rPr>
        <sz val="12"/>
        <rFont val="Times New Roman"/>
        <family val="1"/>
      </rPr>
      <t>nước hệ thống làm mát D06</t>
    </r>
  </si>
  <si>
    <r>
      <rPr>
        <sz val="12"/>
        <rFont val="Times New Roman"/>
        <family val="1"/>
      </rPr>
      <t xml:space="preserve">Sửa chữa bản thể lò nung (sữa chữa
</t>
    </r>
    <r>
      <rPr>
        <sz val="12"/>
        <rFont val="Times New Roman"/>
        <family val="1"/>
      </rPr>
      <t>bê tông, gạch chịu nhiệt)</t>
    </r>
  </si>
  <si>
    <r>
      <rPr>
        <sz val="12"/>
        <rFont val="Times New Roman"/>
        <family val="1"/>
      </rPr>
      <t>Vận chuyển than dưới sàng sang kho than nhiệt điện (than vụn)</t>
    </r>
  </si>
  <si>
    <r>
      <rPr>
        <sz val="12"/>
        <rFont val="Times New Roman"/>
        <family val="1"/>
      </rPr>
      <t>Thu gom, xử lý tro bay nhà máy Nhiệt điện</t>
    </r>
  </si>
  <si>
    <t>khối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</si>
</sst>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">
    <xf numFmtId="0" fontId="0" fillId="0" borderId="0" xfId="0" applyFill="1" applyBorder="1" applyAlignment="1">
      <alignment horizontal="left" vertical="top"/>
    </xf>
    <xf numFmtId="1" fontId="1" fillId="0" borderId="1" xfId="1" applyNumberFormat="1" applyFont="1" applyFill="1" applyBorder="1" applyAlignment="1">
      <alignment horizontal="center" vertical="center" wrapText="1"/>
    </xf>
    <xf numFmtId="1" fontId="1" fillId="0" borderId="1" xfId="1" applyNumberFormat="1" applyFont="1" applyFill="1" applyBorder="1" applyAlignment="1">
      <alignment horizontal="left" vertical="center" wrapText="1" indent="5"/>
    </xf>
    <xf numFmtId="1" fontId="1" fillId="0" borderId="1" xfId="1" applyNumberFormat="1" applyFont="1" applyFill="1" applyBorder="1" applyAlignment="1">
      <alignment horizontal="center" vertical="top" wrapText="1"/>
    </xf>
    <xf numFmtId="1" fontId="0" fillId="0" borderId="0" xfId="1" applyNumberFormat="1" applyFont="1" applyFill="1" applyBorder="1" applyAlignment="1">
      <alignment horizontal="left" vertical="top"/>
    </xf>
    <xf numFmtId="1" fontId="2" fillId="0" borderId="2" xfId="1" applyNumberFormat="1" applyFont="1" applyFill="1" applyBorder="1" applyAlignment="1">
      <alignment horizontal="center" vertical="center" shrinkToFit="1"/>
    </xf>
    <xf numFmtId="1" fontId="0" fillId="0" borderId="2" xfId="1" applyNumberFormat="1" applyFont="1" applyFill="1" applyBorder="1" applyAlignment="1">
      <alignment horizontal="left" vertical="top" wrapText="1"/>
    </xf>
    <xf numFmtId="1" fontId="2" fillId="0" borderId="2" xfId="1" applyNumberFormat="1" applyFont="1" applyFill="1" applyBorder="1" applyAlignment="1">
      <alignment horizontal="right" vertical="center" shrinkToFit="1"/>
    </xf>
    <xf numFmtId="1" fontId="3" fillId="0" borderId="2" xfId="1" applyNumberFormat="1" applyFont="1" applyFill="1" applyBorder="1" applyAlignment="1">
      <alignment horizontal="left" vertical="top" wrapText="1"/>
    </xf>
    <xf numFmtId="1" fontId="2" fillId="0" borderId="2" xfId="1" applyNumberFormat="1" applyFont="1" applyFill="1" applyBorder="1" applyAlignment="1">
      <alignment horizontal="right" vertical="top" shrinkToFit="1"/>
    </xf>
    <xf numFmtId="1" fontId="3" fillId="0" borderId="2" xfId="1" applyNumberFormat="1" applyFont="1" applyFill="1" applyBorder="1" applyAlignment="1">
      <alignment horizontal="right" vertical="top" wrapText="1" indent="5"/>
    </xf>
    <xf numFmtId="1" fontId="3" fillId="0" borderId="2" xfId="1" applyNumberFormat="1" applyFont="1" applyFill="1" applyBorder="1" applyAlignment="1">
      <alignment horizontal="left" vertical="center" wrapText="1"/>
    </xf>
    <xf numFmtId="1" fontId="0" fillId="0" borderId="0" xfId="1" applyNumberFormat="1" applyFont="1" applyFill="1" applyBorder="1" applyAlignment="1">
      <alignment horizontal="left" vertical="center" wrapText="1"/>
    </xf>
    <xf numFmtId="1" fontId="1" fillId="0" borderId="0" xfId="1" applyNumberFormat="1" applyFont="1" applyFill="1" applyBorder="1" applyAlignment="1">
      <alignment horizontal="left" wrapText="1" indent="2"/>
    </xf>
    <xf numFmtId="1" fontId="0" fillId="0" borderId="0" xfId="1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view="pageBreakPreview" zoomScaleNormal="100" zoomScaleSheetLayoutView="100" workbookViewId="0">
      <selection activeCell="I9" sqref="I9"/>
    </sheetView>
  </sheetViews>
  <sheetFormatPr defaultRowHeight="13.2" x14ac:dyDescent="0.25"/>
  <cols>
    <col min="1" max="1" width="8.21875" style="14" customWidth="1"/>
    <col min="2" max="2" width="35.77734375" style="4" customWidth="1"/>
    <col min="3" max="3" width="25.44140625" style="4" customWidth="1"/>
    <col min="4" max="4" width="16.44140625" style="4" customWidth="1"/>
    <col min="5" max="5" width="24.5546875" style="4" customWidth="1"/>
    <col min="6" max="10" width="8.88671875" style="4"/>
    <col min="11" max="11" width="10.6640625" style="4" customWidth="1"/>
    <col min="12" max="16384" width="8.88671875" style="4"/>
  </cols>
  <sheetData>
    <row r="1" spans="1:5" ht="46.8" x14ac:dyDescent="0.25">
      <c r="A1" s="1" t="s">
        <v>0</v>
      </c>
      <c r="B1" s="2" t="s">
        <v>1</v>
      </c>
      <c r="C1" s="3" t="s">
        <v>2</v>
      </c>
      <c r="D1" s="3" t="s">
        <v>24</v>
      </c>
      <c r="E1" s="3" t="s">
        <v>3</v>
      </c>
    </row>
    <row r="2" spans="1:5" ht="47.25" customHeight="1" x14ac:dyDescent="0.25">
      <c r="A2" s="5">
        <v>1</v>
      </c>
      <c r="B2" s="6" t="s">
        <v>4</v>
      </c>
      <c r="C2" s="7">
        <v>15344</v>
      </c>
      <c r="D2" s="7">
        <v>2</v>
      </c>
      <c r="E2" s="7">
        <f>C2*D2</f>
        <v>30688</v>
      </c>
    </row>
    <row r="3" spans="1:5" ht="31.5" customHeight="1" x14ac:dyDescent="0.25">
      <c r="A3" s="5">
        <v>2</v>
      </c>
      <c r="B3" s="8" t="s">
        <v>5</v>
      </c>
      <c r="C3" s="9">
        <v>13023</v>
      </c>
      <c r="D3" s="9">
        <v>1</v>
      </c>
      <c r="E3" s="7">
        <f t="shared" ref="E3:E22" si="0">C3*D3</f>
        <v>13023</v>
      </c>
    </row>
    <row r="4" spans="1:5" ht="31.5" customHeight="1" x14ac:dyDescent="0.25">
      <c r="A4" s="5">
        <v>3</v>
      </c>
      <c r="B4" s="8" t="s">
        <v>6</v>
      </c>
      <c r="C4" s="9">
        <v>838</v>
      </c>
      <c r="D4" s="9">
        <v>2</v>
      </c>
      <c r="E4" s="7">
        <f t="shared" si="0"/>
        <v>1676</v>
      </c>
    </row>
    <row r="5" spans="1:5" ht="31.5" customHeight="1" x14ac:dyDescent="0.25">
      <c r="A5" s="5">
        <v>4</v>
      </c>
      <c r="B5" s="8" t="s">
        <v>7</v>
      </c>
      <c r="C5" s="9">
        <v>3078</v>
      </c>
      <c r="D5" s="9">
        <v>3</v>
      </c>
      <c r="E5" s="7">
        <f t="shared" si="0"/>
        <v>9234</v>
      </c>
    </row>
    <row r="6" spans="1:5" ht="47.25" customHeight="1" x14ac:dyDescent="0.25">
      <c r="A6" s="5">
        <v>5</v>
      </c>
      <c r="B6" s="6" t="s">
        <v>8</v>
      </c>
      <c r="C6" s="7">
        <v>1269</v>
      </c>
      <c r="D6" s="7">
        <v>2</v>
      </c>
      <c r="E6" s="7">
        <f t="shared" si="0"/>
        <v>2538</v>
      </c>
    </row>
    <row r="7" spans="1:5" ht="47.25" customHeight="1" x14ac:dyDescent="0.25">
      <c r="A7" s="5">
        <v>6</v>
      </c>
      <c r="B7" s="6" t="s">
        <v>9</v>
      </c>
      <c r="C7" s="7">
        <v>15</v>
      </c>
      <c r="D7" s="7">
        <v>3</v>
      </c>
      <c r="E7" s="7">
        <f t="shared" si="0"/>
        <v>45</v>
      </c>
    </row>
    <row r="8" spans="1:5" ht="34.5" customHeight="1" x14ac:dyDescent="0.25">
      <c r="A8" s="5">
        <v>7</v>
      </c>
      <c r="B8" s="6" t="s">
        <v>10</v>
      </c>
      <c r="C8" s="9">
        <v>650</v>
      </c>
      <c r="D8" s="9">
        <v>1</v>
      </c>
      <c r="E8" s="7">
        <f t="shared" si="0"/>
        <v>650</v>
      </c>
    </row>
    <row r="9" spans="1:5" ht="36.75" customHeight="1" x14ac:dyDescent="0.25">
      <c r="A9" s="5">
        <v>8</v>
      </c>
      <c r="B9" s="8" t="s">
        <v>11</v>
      </c>
      <c r="C9" s="9">
        <v>750</v>
      </c>
      <c r="D9" s="9">
        <v>2</v>
      </c>
      <c r="E9" s="7">
        <f t="shared" si="0"/>
        <v>1500</v>
      </c>
    </row>
    <row r="10" spans="1:5" ht="31.95" customHeight="1" x14ac:dyDescent="0.25">
      <c r="A10" s="5">
        <v>9</v>
      </c>
      <c r="B10" s="8" t="s">
        <v>12</v>
      </c>
      <c r="C10" s="9">
        <v>600</v>
      </c>
      <c r="D10" s="9">
        <v>3</v>
      </c>
      <c r="E10" s="7">
        <f t="shared" si="0"/>
        <v>1800</v>
      </c>
    </row>
    <row r="11" spans="1:5" ht="33.299999999999997" customHeight="1" x14ac:dyDescent="0.25">
      <c r="A11" s="5">
        <v>10</v>
      </c>
      <c r="B11" s="8" t="s">
        <v>13</v>
      </c>
      <c r="C11" s="9">
        <v>15</v>
      </c>
      <c r="D11" s="9">
        <v>2</v>
      </c>
      <c r="E11" s="7">
        <f t="shared" si="0"/>
        <v>30</v>
      </c>
    </row>
    <row r="12" spans="1:5" ht="31.5" customHeight="1" x14ac:dyDescent="0.25">
      <c r="A12" s="5">
        <v>11</v>
      </c>
      <c r="B12" s="8" t="s">
        <v>14</v>
      </c>
      <c r="C12" s="9">
        <v>900</v>
      </c>
      <c r="D12" s="9">
        <v>3</v>
      </c>
      <c r="E12" s="7">
        <f t="shared" si="0"/>
        <v>2700</v>
      </c>
    </row>
    <row r="13" spans="1:5" ht="17.55" customHeight="1" x14ac:dyDescent="0.25">
      <c r="A13" s="5">
        <v>12</v>
      </c>
      <c r="B13" s="10" t="s">
        <v>15</v>
      </c>
      <c r="C13" s="9">
        <v>600</v>
      </c>
      <c r="D13" s="9">
        <v>3</v>
      </c>
      <c r="E13" s="7">
        <f t="shared" si="0"/>
        <v>1800</v>
      </c>
    </row>
    <row r="14" spans="1:5" ht="17.55" customHeight="1" x14ac:dyDescent="0.25">
      <c r="A14" s="5">
        <v>13</v>
      </c>
      <c r="B14" s="10" t="s">
        <v>16</v>
      </c>
      <c r="C14" s="9">
        <v>300</v>
      </c>
      <c r="D14" s="9">
        <v>2</v>
      </c>
      <c r="E14" s="7">
        <f t="shared" si="0"/>
        <v>600</v>
      </c>
    </row>
    <row r="15" spans="1:5" ht="34.5" customHeight="1" x14ac:dyDescent="0.25">
      <c r="A15" s="5">
        <v>14</v>
      </c>
      <c r="B15" s="6" t="s">
        <v>17</v>
      </c>
      <c r="C15" s="9">
        <v>12</v>
      </c>
      <c r="D15" s="9">
        <v>4</v>
      </c>
      <c r="E15" s="7">
        <f t="shared" si="0"/>
        <v>48</v>
      </c>
    </row>
    <row r="16" spans="1:5" ht="31.5" customHeight="1" x14ac:dyDescent="0.25">
      <c r="A16" s="5">
        <v>15</v>
      </c>
      <c r="B16" s="8" t="s">
        <v>18</v>
      </c>
      <c r="C16" s="9">
        <v>300</v>
      </c>
      <c r="D16" s="9">
        <v>5</v>
      </c>
      <c r="E16" s="7">
        <f t="shared" si="0"/>
        <v>1500</v>
      </c>
    </row>
    <row r="17" spans="1:5" ht="47.25" customHeight="1" x14ac:dyDescent="0.25">
      <c r="A17" s="5">
        <v>16</v>
      </c>
      <c r="B17" s="11" t="s">
        <v>19</v>
      </c>
      <c r="C17" s="7">
        <v>28</v>
      </c>
      <c r="D17" s="7">
        <v>6</v>
      </c>
      <c r="E17" s="7">
        <f t="shared" si="0"/>
        <v>168</v>
      </c>
    </row>
    <row r="18" spans="1:5" ht="34.5" customHeight="1" x14ac:dyDescent="0.25">
      <c r="A18" s="5">
        <v>17</v>
      </c>
      <c r="B18" s="6" t="s">
        <v>20</v>
      </c>
      <c r="C18" s="9">
        <v>25</v>
      </c>
      <c r="D18" s="9">
        <v>2</v>
      </c>
      <c r="E18" s="7">
        <f t="shared" si="0"/>
        <v>50</v>
      </c>
    </row>
    <row r="19" spans="1:5" ht="34.5" customHeight="1" x14ac:dyDescent="0.25">
      <c r="A19" s="5">
        <v>18</v>
      </c>
      <c r="B19" s="6" t="s">
        <v>21</v>
      </c>
      <c r="C19" s="9">
        <v>75</v>
      </c>
      <c r="D19" s="9">
        <v>2</v>
      </c>
      <c r="E19" s="7">
        <f t="shared" si="0"/>
        <v>150</v>
      </c>
    </row>
    <row r="20" spans="1:5" ht="44.7" customHeight="1" x14ac:dyDescent="0.25">
      <c r="A20" s="5">
        <v>19</v>
      </c>
      <c r="B20" s="8" t="s">
        <v>22</v>
      </c>
      <c r="C20" s="7">
        <v>199</v>
      </c>
      <c r="D20" s="7">
        <v>3</v>
      </c>
      <c r="E20" s="7">
        <f t="shared" si="0"/>
        <v>597</v>
      </c>
    </row>
    <row r="21" spans="1:5" ht="45.3" customHeight="1" x14ac:dyDescent="0.25">
      <c r="A21" s="5">
        <v>20</v>
      </c>
      <c r="B21" s="8" t="s">
        <v>23</v>
      </c>
      <c r="C21" s="7">
        <v>2193</v>
      </c>
      <c r="D21" s="7">
        <v>4</v>
      </c>
      <c r="E21" s="7">
        <f t="shared" si="0"/>
        <v>8772</v>
      </c>
    </row>
    <row r="22" spans="1:5" ht="62.7" customHeight="1" x14ac:dyDescent="0.25">
      <c r="A22" s="5">
        <v>21</v>
      </c>
      <c r="B22" s="8" t="s">
        <v>23</v>
      </c>
      <c r="C22" s="7">
        <v>2193</v>
      </c>
      <c r="D22" s="7">
        <v>5</v>
      </c>
      <c r="E22" s="7">
        <f t="shared" si="0"/>
        <v>10965</v>
      </c>
    </row>
    <row r="23" spans="1:5" ht="51.75" customHeight="1" x14ac:dyDescent="0.3">
      <c r="A23" s="12"/>
      <c r="B23" s="13"/>
      <c r="C23" s="12"/>
      <c r="D23" s="12">
        <v>2</v>
      </c>
      <c r="E23" s="12"/>
    </row>
  </sheetData>
  <pageMargins left="0.25" right="0.16" top="0.31" bottom="0.1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THANHCANH</dc:creator>
  <cp:lastModifiedBy>Cảnh Đoàn Văn</cp:lastModifiedBy>
  <cp:lastPrinted>2025-12-02T09:03:11Z</cp:lastPrinted>
  <dcterms:created xsi:type="dcterms:W3CDTF">2025-03-07T06:21:19Z</dcterms:created>
  <dcterms:modified xsi:type="dcterms:W3CDTF">2025-12-02T09:10:26Z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2025-03-07T00:00:00Z</vt:filetime>
  </property>
  <property fmtid="{D5CDD505-2E9C-101B-9397-08002B2CF9AE}" pid="5" name="Producer">
    <vt:lpwstr>䵩捲潳潦璮⁅硣敬긠㈰ㄶ㬠浯摩晩敤⁵獩湧⁩呥硴′⸱⸷⁢礠ㅔ㍘吀</vt:lpwstr>
  </property>
</Properties>
</file>